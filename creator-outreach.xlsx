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ors" sheetId="1" state="visible" r:id="rId3"/>
    <sheet name="Summary" sheetId="2" state="visible" r:id="rId4"/>
    <sheet name="Outreach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<sst xmlns="http://schemas.openxmlformats.org/spreadsheetml/2006/main" count="74" uniqueCount="63">
  <si>
    <t xml:space="preserve">Date Found</t>
  </si>
  <si>
    <t xml:space="preserve">Channel Name</t>
  </si>
  <si>
    <t xml:space="preserve">YouTube URL</t>
  </si>
  <si>
    <t xml:space="preserve">Niche</t>
  </si>
  <si>
    <t xml:space="preserve">Subscribers</t>
  </si>
  <si>
    <t xml:space="preserve">Avg Views/Video</t>
  </si>
  <si>
    <t xml:space="preserve">Email Found?</t>
  </si>
  <si>
    <t xml:space="preserve">Email Address</t>
  </si>
  <si>
    <t xml:space="preserve">Last Video Posted</t>
  </si>
  <si>
    <t xml:space="preserve">Source</t>
  </si>
  <si>
    <t xml:space="preserve">Outreach Status</t>
  </si>
  <si>
    <t xml:space="preserve">Date Contacted</t>
  </si>
  <si>
    <t xml:space="preserve">Date Replied</t>
  </si>
  <si>
    <t xml:space="preserve">Notes</t>
  </si>
  <si>
    <t xml:space="preserve">2026-04-26</t>
  </si>
  <si>
    <t xml:space="preserve">Fix It With Rick</t>
  </si>
  <si>
    <t xml:space="preserve">https://www.youtube.com/@fixitwithrick</t>
  </si>
  <si>
    <t xml:space="preserve">Plumbing</t>
  </si>
  <si>
    <t xml:space="preserve">Yes</t>
  </si>
  <si>
    <t xml:space="preserve">rick@fixitwithrick.com</t>
  </si>
  <si>
    <t xml:space="preserve">2026-04-20</t>
  </si>
  <si>
    <t xml:space="preserve">ChannelCrawler</t>
  </si>
  <si>
    <t xml:space="preserve">Not Contacted</t>
  </si>
  <si>
    <t xml:space="preserve">Strong DIY focus, weekly uploads</t>
  </si>
  <si>
    <t xml:space="preserve">HVAC Guide</t>
  </si>
  <si>
    <t xml:space="preserve">https://www.youtube.com/@hvacguide</t>
  </si>
  <si>
    <t xml:space="preserve">HVAC</t>
  </si>
  <si>
    <t xml:space="preserve">contact@hvacguide.tv</t>
  </si>
  <si>
    <t xml:space="preserve">2026-04-22</t>
  </si>
  <si>
    <t xml:space="preserve">FeedSpot</t>
  </si>
  <si>
    <t xml:space="preserve">Contacted</t>
  </si>
  <si>
    <t xml:space="preserve">Sent outreach v1, awaiting reply</t>
  </si>
  <si>
    <t xml:space="preserve">Appliance Geek</t>
  </si>
  <si>
    <t xml:space="preserve">https://www.youtube.com/@appliancegeek</t>
  </si>
  <si>
    <t xml:space="preserve">Appliances</t>
  </si>
  <si>
    <t xml:space="preserve">No</t>
  </si>
  <si>
    <t xml:space="preserve">2026-04-15</t>
  </si>
  <si>
    <t xml:space="preserve">YouTube Search</t>
  </si>
  <si>
    <t xml:space="preserve">No public email, try IG DM</t>
  </si>
  <si>
    <t xml:space="preserve">Handy Owl — Creator Outreach Pipeline</t>
  </si>
  <si>
    <t xml:space="preserve">Funnel</t>
  </si>
  <si>
    <t xml:space="preserve">Total prospects</t>
  </si>
  <si>
    <t xml:space="preserve">With email found</t>
  </si>
  <si>
    <t xml:space="preserve">Replied (any)</t>
  </si>
  <si>
    <t xml:space="preserve">Reply: Interested</t>
  </si>
  <si>
    <t xml:space="preserve">Signed</t>
  </si>
  <si>
    <t xml:space="preserve">Conversion Rates</t>
  </si>
  <si>
    <t xml:space="preserve">Email-find rate (with email / prospects)</t>
  </si>
  <si>
    <t xml:space="preserve">Reply rate (replies / contacted)</t>
  </si>
  <si>
    <t xml:space="preserve">Sign rate (signed / contacted)</t>
  </si>
  <si>
    <t xml:space="preserve">By Niche</t>
  </si>
  <si>
    <t xml:space="preserve">Count</t>
  </si>
  <si>
    <t xml:space="preserve">Electrical</t>
  </si>
  <si>
    <t xml:space="preserve">Flooring</t>
  </si>
  <si>
    <t xml:space="preserve">Painting</t>
  </si>
  <si>
    <t xml:space="preserve">Landscaping</t>
  </si>
  <si>
    <t xml:space="preserve">Carpentry</t>
  </si>
  <si>
    <t xml:space="preserve">Multi-niche</t>
  </si>
  <si>
    <t xml:space="preserve">Other</t>
  </si>
  <si>
    <t xml:space="preserve">Date</t>
  </si>
  <si>
    <t xml:space="preserve">Channel</t>
  </si>
  <si>
    <t xml:space="preserve">Action</t>
  </si>
  <si>
    <t xml:space="preserve">Template Used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</si>
</sst>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A3A2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A2A"/>
        <bgColor rgb="FF333300"/>
      </patternFill>
    </fill>
    <fill>
      <patternFill patternType="solid">
        <fgColor rgb="FFE8E8E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3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3" min="12" style="0" width="13"/>
    <col collapsed="false" customWidth="true" hidden="false" outlineLevel="0" max="14" min="14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n">
        <v>47000</v>
      </c>
      <c r="F2" s="2" t="n">
        <v>12000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  <c r="M2" s="2"/>
      <c r="N2" s="2" t="s">
        <v>23</v>
      </c>
    </row>
    <row r="3" customFormat="false" ht="15" hidden="false" customHeight="false" outlineLevel="0" collapsed="false">
      <c r="A3" s="2" t="s">
        <v>14</v>
      </c>
      <c r="B3" s="2" t="s">
        <v>24</v>
      </c>
      <c r="C3" s="2" t="s">
        <v>25</v>
      </c>
      <c r="D3" s="2" t="s">
        <v>26</v>
      </c>
      <c r="E3" s="2" t="n">
        <v>82000</v>
      </c>
      <c r="F3" s="2" t="n">
        <v>25000</v>
      </c>
      <c r="G3" s="2" t="s">
        <v>18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14</v>
      </c>
      <c r="M3" s="2"/>
      <c r="N3" s="2" t="s">
        <v>31</v>
      </c>
    </row>
    <row r="4" customFormat="false" ht="15" hidden="false" customHeight="false" outlineLevel="0" collapsed="false">
      <c r="A4" s="2" t="s">
        <v>14</v>
      </c>
      <c r="B4" s="2" t="s">
        <v>32</v>
      </c>
      <c r="C4" s="2" t="s">
        <v>33</v>
      </c>
      <c r="D4" s="2" t="s">
        <v>34</v>
      </c>
      <c r="E4" s="2" t="n">
        <v>28000</v>
      </c>
      <c r="F4" s="2" t="n">
        <v>8500</v>
      </c>
      <c r="G4" s="2" t="s">
        <v>35</v>
      </c>
      <c r="H4" s="2"/>
      <c r="I4" s="2" t="s">
        <v>36</v>
      </c>
      <c r="J4" s="2" t="s">
        <v>37</v>
      </c>
      <c r="K4" s="2" t="s">
        <v>22</v>
      </c>
      <c r="L4" s="2"/>
      <c r="M4" s="2"/>
      <c r="N4" s="2" t="s">
        <v>38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dataValidations count="4">
    <dataValidation allowBlank="true" error="Pick from the dropdown" errorStyle="stop" errorTitle="Invalid niche" operator="between" showDropDown="false" showErrorMessage="false" showInputMessage="false" sqref="D2:D1000" type="list">
      <formula1>"Plumbing,Electrical,HVAC,Flooring,Painting,Landscaping,Carpentry,Appliances,Multi-niche,Other"</formula1>
      <formula2>0</formula2>
    </dataValidation>
    <dataValidation allowBlank="true" errorStyle="stop" operator="between" showDropDown="false" showErrorMessage="false" showInputMessage="false" sqref="G2:G1000" type="list">
      <formula1>"Yes,No"</formula1>
      <formula2>0</formula2>
    </dataValidation>
    <dataValidation allowBlank="true" errorStyle="stop" operator="between" showDropDown="false" showErrorMessage="false" showInputMessage="false" sqref="K2:K1000" type="list">
      <formula1>"Not Contacted,Contacted,Reply: Interested,Reply: Declined,Signed,No Response"</formula1>
      <formula2>0</formula2>
    </dataValidation>
    <dataValidation allowBlank="true" errorStyle="stop" operator="between" showDropDown="false" showErrorMessage="false" showInputMessage="false" sqref="J2:J1000" type="list">
      <formula1>"ChannelCrawler,FeedSpot,YouTube Search,TubeDigest,Modash,Referral,Other"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3" t="s">
        <v>39</v>
      </c>
      <c r="B1" s="3"/>
      <c r="C1" s="3"/>
    </row>
    <row r="3" customFormat="false" ht="15" hidden="false" customHeight="false" outlineLevel="0" collapsed="false">
      <c r="A3" s="4" t="s">
        <v>40</v>
      </c>
    </row>
    <row r="4" customFormat="false" ht="15" hidden="false" customHeight="false" outlineLevel="0" collapsed="false">
      <c r="A4" s="5" t="s">
        <v>41</v>
      </c>
      <c r="B4" s="6" t="n">
        <f aca="false">COUNTA(Creators!B2:B1000)</f>
        <v>3</v>
      </c>
    </row>
    <row r="5" customFormat="false" ht="15" hidden="false" customHeight="false" outlineLevel="0" collapsed="false">
      <c r="A5" s="5" t="s">
        <v>42</v>
      </c>
      <c r="B5" s="6" t="n">
        <f aca="false">COUNTIF(Creators!G2:G1000,"Yes")</f>
        <v>2</v>
      </c>
    </row>
    <row r="6" customFormat="false" ht="15" hidden="false" customHeight="false" outlineLevel="0" collapsed="false">
      <c r="A6" s="5" t="s">
        <v>30</v>
      </c>
      <c r="B6" s="6" t="n">
        <f aca="false">COUNTIF(Creators!K2:K1000,"Contacted")+COUNTIF(Creators!K2:K1000,"Reply: Interested")+COUNTIF(Creators!K2:K1000,"Reply: Declined")+COUNTIF(Creators!K2:K1000,"Signed")+COUNTIF(Creators!K2:K1000,"No Response")</f>
        <v>1</v>
      </c>
    </row>
    <row r="7" customFormat="false" ht="15" hidden="false" customHeight="false" outlineLevel="0" collapsed="false">
      <c r="A7" s="5" t="s">
        <v>43</v>
      </c>
      <c r="B7" s="6" t="n">
        <f aca="false">COUNTIF(Creators!K2:K1000,"Reply: Interested")+COUNTIF(Creators!K2:K1000,"Reply: Declined")+COUNTIF(Creators!K2:K1000,"Signed")</f>
        <v>0</v>
      </c>
    </row>
    <row r="8" customFormat="false" ht="15" hidden="false" customHeight="false" outlineLevel="0" collapsed="false">
      <c r="A8" s="5" t="s">
        <v>44</v>
      </c>
      <c r="B8" s="6" t="n">
        <f aca="false">COUNTIF(Creators!K2:K1000,"Reply: Interested")</f>
        <v>0</v>
      </c>
    </row>
    <row r="9" customFormat="false" ht="15" hidden="false" customHeight="false" outlineLevel="0" collapsed="false">
      <c r="A9" s="5" t="s">
        <v>45</v>
      </c>
      <c r="B9" s="6" t="n">
        <f aca="false">COUNTIF(Creators!K2:K1000,"Signed")</f>
        <v>0</v>
      </c>
    </row>
    <row r="11" customFormat="false" ht="15" hidden="false" customHeight="false" outlineLevel="0" collapsed="false">
      <c r="A11" s="4" t="s">
        <v>46</v>
      </c>
    </row>
    <row r="12" customFormat="false" ht="15" hidden="false" customHeight="false" outlineLevel="0" collapsed="false">
      <c r="A12" s="0" t="s">
        <v>47</v>
      </c>
      <c r="B12" s="7" t="n">
        <f aca="false">IF(B4=0,0,B5/B4)</f>
        <v>0.666666666666667</v>
      </c>
    </row>
    <row r="13" customFormat="false" ht="15" hidden="false" customHeight="false" outlineLevel="0" collapsed="false">
      <c r="A13" s="0" t="s">
        <v>48</v>
      </c>
      <c r="B13" s="7" t="n">
        <f aca="false">IF(B6=0,0,B7/B6)</f>
        <v>0</v>
      </c>
    </row>
    <row r="14" customFormat="false" ht="15" hidden="false" customHeight="false" outlineLevel="0" collapsed="false">
      <c r="A14" s="0" t="s">
        <v>49</v>
      </c>
      <c r="B14" s="7" t="n">
        <f aca="false">IF(B6=0,0,B9/B6)</f>
        <v>0</v>
      </c>
    </row>
    <row r="16" customFormat="false" ht="15" hidden="false" customHeight="false" outlineLevel="0" collapsed="false">
      <c r="A16" s="4" t="s">
        <v>50</v>
      </c>
    </row>
    <row r="17" customFormat="false" ht="15" hidden="false" customHeight="false" outlineLevel="0" collapsed="false">
      <c r="A17" s="6" t="s">
        <v>3</v>
      </c>
      <c r="B17" s="6" t="s">
        <v>51</v>
      </c>
    </row>
    <row r="18" customFormat="false" ht="15" hidden="false" customHeight="false" outlineLevel="0" collapsed="false">
      <c r="A18" s="5" t="s">
        <v>17</v>
      </c>
      <c r="B18" s="5" t="n">
        <f aca="false">COUNTIF(Creators!D2:D1000,"Plumbing")</f>
        <v>1</v>
      </c>
    </row>
    <row r="19" customFormat="false" ht="15" hidden="false" customHeight="false" outlineLevel="0" collapsed="false">
      <c r="A19" s="5" t="s">
        <v>52</v>
      </c>
      <c r="B19" s="5" t="n">
        <f aca="false">COUNTIF(Creators!D2:D1000,"Electrical")</f>
        <v>0</v>
      </c>
    </row>
    <row r="20" customFormat="false" ht="15" hidden="false" customHeight="false" outlineLevel="0" collapsed="false">
      <c r="A20" s="5" t="s">
        <v>26</v>
      </c>
      <c r="B20" s="5" t="n">
        <f aca="false">COUNTIF(Creators!D2:D1000,"HVAC")</f>
        <v>1</v>
      </c>
    </row>
    <row r="21" customFormat="false" ht="15" hidden="false" customHeight="false" outlineLevel="0" collapsed="false">
      <c r="A21" s="5" t="s">
        <v>53</v>
      </c>
      <c r="B21" s="5" t="n">
        <f aca="false">COUNTIF(Creators!D2:D1000,"Flooring")</f>
        <v>0</v>
      </c>
    </row>
    <row r="22" customFormat="false" ht="15" hidden="false" customHeight="false" outlineLevel="0" collapsed="false">
      <c r="A22" s="5" t="s">
        <v>54</v>
      </c>
      <c r="B22" s="5" t="n">
        <f aca="false">COUNTIF(Creators!D2:D1000,"Painting")</f>
        <v>0</v>
      </c>
    </row>
    <row r="23" customFormat="false" ht="15" hidden="false" customHeight="false" outlineLevel="0" collapsed="false">
      <c r="A23" s="5" t="s">
        <v>55</v>
      </c>
      <c r="B23" s="5" t="n">
        <f aca="false">COUNTIF(Creators!D2:D1000,"Landscaping")</f>
        <v>0</v>
      </c>
    </row>
    <row r="24" customFormat="false" ht="15" hidden="false" customHeight="false" outlineLevel="0" collapsed="false">
      <c r="A24" s="5" t="s">
        <v>56</v>
      </c>
      <c r="B24" s="5" t="n">
        <f aca="false">COUNTIF(Creators!D2:D1000,"Carpentry")</f>
        <v>0</v>
      </c>
    </row>
    <row r="25" customFormat="false" ht="15" hidden="false" customHeight="false" outlineLevel="0" collapsed="false">
      <c r="A25" s="5" t="s">
        <v>34</v>
      </c>
      <c r="B25" s="5" t="n">
        <f aca="false">COUNTIF(Creators!D2:D1000,"Appliances")</f>
        <v>1</v>
      </c>
    </row>
    <row r="26" customFormat="false" ht="15" hidden="false" customHeight="false" outlineLevel="0" collapsed="false">
      <c r="A26" s="5" t="s">
        <v>57</v>
      </c>
      <c r="B26" s="5" t="n">
        <f aca="false">COUNTIF(Creators!D2:D1000,"Multi-niche")</f>
        <v>0</v>
      </c>
    </row>
    <row r="27" customFormat="false" ht="15" hidden="false" customHeight="false" outlineLevel="0" collapsed="false">
      <c r="A27" s="5" t="s">
        <v>58</v>
      </c>
      <c r="B27" s="5" t="n">
        <f aca="false">COUNTIF(Creators!D2:D1000,"Other")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18"/>
    <col collapsed="false" customWidth="true" hidden="false" outlineLevel="0" max="5" min="5" style="0" width="50"/>
  </cols>
  <sheetData>
    <row r="1" customFormat="false" ht="24" hidden="false" customHeight="true" outlineLevel="0" collapsed="false">
      <c r="A1" s="1" t="s">
        <v>59</v>
      </c>
      <c r="B1" s="1" t="s">
        <v>60</v>
      </c>
      <c r="C1" s="1" t="s">
        <v>61</v>
      </c>
      <c r="D1" s="1" t="s">
        <v>62</v>
      </c>
      <c r="E1" s="1" t="s">
        <v>13</v>
      </c>
    </row>
  </sheetData>
  <dataValidations count="1">
    <dataValidation allowBlank="true" errorStyle="stop" operator="between" showDropDown="false" showErrorMessage="false" showInputMessage="false" sqref="C2:C1000" type="list">
      <formula1>"Initial outreach,Follow-up 1,Follow-up 2,Reply received,Discovery call,Onboarded,Dropped"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2026-04-26T23:33:48Z</dcterms:created>
  <dc:creator>openpyxl</dc:creator>
  <dc:description/>
  <dc:language>en-US</dc:language>
  <cp:lastModifiedBy/>
  <dcterms:modified xsi:type="dcterms:W3CDTF">2026-04-26T23:33:48Z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